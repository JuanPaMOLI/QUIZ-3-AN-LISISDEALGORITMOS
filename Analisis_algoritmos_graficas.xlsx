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an pablo\Downloads\"/>
    </mc:Choice>
  </mc:AlternateContent>
  <xr:revisionPtr revIDLastSave="0" documentId="8_{D8FC624B-A94A-49DB-BF7A-0CA9D86DB042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Hoja1" sheetId="1" r:id="rId1"/>
    <sheet name="Comparativa" sheetId="2" r:id="rId2"/>
    <sheet name="Gráfic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C9" i="2"/>
  <c r="E8" i="2"/>
  <c r="C8" i="2"/>
  <c r="E7" i="2"/>
  <c r="C7" i="2"/>
  <c r="E6" i="2"/>
  <c r="C6" i="2"/>
  <c r="E5" i="2"/>
  <c r="C5" i="2"/>
  <c r="E4" i="2"/>
  <c r="C4" i="2"/>
  <c r="E3" i="2"/>
  <c r="C3" i="2"/>
  <c r="E2" i="2"/>
  <c r="C2" i="2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  <c r="E2" i="1"/>
  <c r="C2" i="1"/>
</calcChain>
</file>

<file path=xl/sharedStrings.xml><?xml version="1.0" encoding="utf-8"?>
<sst xmlns="http://schemas.openxmlformats.org/spreadsheetml/2006/main" count="17" uniqueCount="12">
  <si>
    <t>N</t>
  </si>
  <si>
    <t>Tiempo Mergesort (ms)</t>
  </si>
  <si>
    <t>Tiempo Mergesort Teórico (ms)</t>
  </si>
  <si>
    <t>Tiempo Busq. Binaria (µs)</t>
  </si>
  <si>
    <t>Tiempo Busq. Binaria Teórica (µs)</t>
  </si>
  <si>
    <t>Resumen</t>
  </si>
  <si>
    <t>Mergesort</t>
  </si>
  <si>
    <t>Los tiempos empíricos aumentan con N y siguen una tendencia de crecimiento compatible con O(n log n), aunque sus valores no coinciden exactamente con la función teórica.</t>
  </si>
  <si>
    <t>Búsqueda binaria</t>
  </si>
  <si>
    <t>Los tiempos empíricos cambian poco al aumentar N, mientras la función teórica O(log n) también presenta un crecimiento lento.</t>
  </si>
  <si>
    <t>Conclusión</t>
  </si>
  <si>
    <t>La comparación se basa en la forma de crecimiento de las curvas empíricas frente a las funciones teóricas indicadas en el archivo.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</si>
</sst>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left" vertical="top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numFmt numFmtId="0" formatCode="General"/>
      <alignment horizontal="left" vertical="top"/>
    </dxf>
    <dxf>
      <numFmt numFmtId="164" formatCode="0.0000"/>
      <alignment horizontal="left" vertical="top"/>
    </dxf>
    <dxf>
      <numFmt numFmtId="0" formatCode="General"/>
      <alignment horizontal="left" vertical="top"/>
    </dxf>
    <dxf>
      <numFmt numFmtId="165" formatCode="0.000000"/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R"/>
              <a:t>Mergesort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Comparativa!$B$1</c:f>
              <c:strCache>
                <c:ptCount val="1"/>
                <c:pt idx="0">
                  <c:v>Tiempo Mergesort (ms)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Comparativa!$A$2:$A$9</c:f>
              <c:numCache>
                <c:formatCode>General</c:formatCode>
                <c:ptCount val="8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250000</c:v>
                </c:pt>
                <c:pt idx="6">
                  <c:v>500000</c:v>
                </c:pt>
                <c:pt idx="7">
                  <c:v>1000000</c:v>
                </c:pt>
              </c:numCache>
            </c:numRef>
          </c:cat>
          <c:val>
            <c:numRef>
              <c:f>Comparativa!$B$2:$B$9</c:f>
              <c:numCache>
                <c:formatCode>General</c:formatCode>
                <c:ptCount val="8"/>
                <c:pt idx="0">
                  <c:v>1.3577999999999999</c:v>
                </c:pt>
                <c:pt idx="1">
                  <c:v>8.0098000000000003</c:v>
                </c:pt>
                <c:pt idx="2">
                  <c:v>22.424199999999999</c:v>
                </c:pt>
                <c:pt idx="3">
                  <c:v>129.97059999999999</c:v>
                </c:pt>
                <c:pt idx="4">
                  <c:v>207.44329999999999</c:v>
                </c:pt>
                <c:pt idx="5">
                  <c:v>561.51319999999998</c:v>
                </c:pt>
                <c:pt idx="6">
                  <c:v>994.90949999999998</c:v>
                </c:pt>
                <c:pt idx="7">
                  <c:v>5632.8128999999999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0D-4BC3-8FAA-BDD521280E56}"/>
            </c:ext>
          </c:extLst>
        </c:ser>
        <c:ser>
          <c:idx val="1"/>
          <c:order val="1"/>
          <c:tx>
            <c:strRef>
              <c:f>Comparativa!$C$1</c:f>
              <c:strCache>
                <c:ptCount val="1"/>
                <c:pt idx="0">
                  <c:v>Tiempo Mergesort Teórico (ms)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Comparativa!$A$2:$A$9</c:f>
              <c:numCache>
                <c:formatCode>General</c:formatCode>
                <c:ptCount val="8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250000</c:v>
                </c:pt>
                <c:pt idx="6">
                  <c:v>500000</c:v>
                </c:pt>
                <c:pt idx="7">
                  <c:v>1000000</c:v>
                </c:pt>
              </c:numCache>
            </c:numRef>
          </c:cat>
          <c:val>
            <c:numRef>
              <c:f>Comparativa!$C$2:$C$9</c:f>
              <c:numCache>
                <c:formatCode>General</c:formatCode>
                <c:ptCount val="8"/>
                <c:pt idx="0">
                  <c:v>0.99657842846620881</c:v>
                </c:pt>
                <c:pt idx="1">
                  <c:v>6.1438561897747261</c:v>
                </c:pt>
                <c:pt idx="2">
                  <c:v>13.287712379549451</c:v>
                </c:pt>
                <c:pt idx="3">
                  <c:v>78.048202372184065</c:v>
                </c:pt>
                <c:pt idx="4">
                  <c:v>166.09640474436813</c:v>
                </c:pt>
                <c:pt idx="5">
                  <c:v>448.28921423310436</c:v>
                </c:pt>
                <c:pt idx="6">
                  <c:v>946.57842846620872</c:v>
                </c:pt>
                <c:pt idx="7">
                  <c:v>1993.1568569324174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60D-4BC3-8FAA-BDD521280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R"/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R"/>
                  <a:t>Tiempo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R"/>
              <a:t>Búsqueda binaria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Comparativa!$D$1</c:f>
              <c:strCache>
                <c:ptCount val="1"/>
                <c:pt idx="0">
                  <c:v>Tiempo Busq. Binaria (µs)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Comparativa!$A$2:$A$9</c:f>
              <c:numCache>
                <c:formatCode>General</c:formatCode>
                <c:ptCount val="8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250000</c:v>
                </c:pt>
                <c:pt idx="6">
                  <c:v>500000</c:v>
                </c:pt>
                <c:pt idx="7">
                  <c:v>1000000</c:v>
                </c:pt>
              </c:numCache>
            </c:numRef>
          </c:cat>
          <c:val>
            <c:numRef>
              <c:f>Comparativa!$D$2:$D$9</c:f>
              <c:numCache>
                <c:formatCode>General</c:formatCode>
                <c:ptCount val="8"/>
                <c:pt idx="0">
                  <c:v>0.2046</c:v>
                </c:pt>
                <c:pt idx="1">
                  <c:v>0.2271</c:v>
                </c:pt>
                <c:pt idx="2">
                  <c:v>0.2442</c:v>
                </c:pt>
                <c:pt idx="3">
                  <c:v>0.27479999999999999</c:v>
                </c:pt>
                <c:pt idx="4">
                  <c:v>0.30740000000000001</c:v>
                </c:pt>
                <c:pt idx="5">
                  <c:v>0.3221</c:v>
                </c:pt>
                <c:pt idx="6">
                  <c:v>0.27889999999999998</c:v>
                </c:pt>
                <c:pt idx="7">
                  <c:v>0.375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6F-4D06-9618-52FD98E436F6}"/>
            </c:ext>
          </c:extLst>
        </c:ser>
        <c:ser>
          <c:idx val="1"/>
          <c:order val="1"/>
          <c:tx>
            <c:strRef>
              <c:f>Comparativa!$E$1</c:f>
              <c:strCache>
                <c:ptCount val="1"/>
                <c:pt idx="0">
                  <c:v>Tiempo Busq. Binaria Teórica (µs)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Comparativa!$A$2:$A$9</c:f>
              <c:numCache>
                <c:formatCode>General</c:formatCode>
                <c:ptCount val="8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250000</c:v>
                </c:pt>
                <c:pt idx="6">
                  <c:v>500000</c:v>
                </c:pt>
                <c:pt idx="7">
                  <c:v>1000000</c:v>
                </c:pt>
              </c:numCache>
            </c:numRef>
          </c:cat>
          <c:val>
            <c:numRef>
              <c:f>Comparativa!$E$2:$E$9</c:f>
              <c:numCache>
                <c:formatCode>General</c:formatCode>
                <c:ptCount val="8"/>
                <c:pt idx="0">
                  <c:v>0.9965784284662087</c:v>
                </c:pt>
                <c:pt idx="1">
                  <c:v>1.2287712379549451</c:v>
                </c:pt>
                <c:pt idx="2">
                  <c:v>1.3287712379549452</c:v>
                </c:pt>
                <c:pt idx="3">
                  <c:v>1.5609640474436812</c:v>
                </c:pt>
                <c:pt idx="4">
                  <c:v>1.6609640474436813</c:v>
                </c:pt>
                <c:pt idx="5">
                  <c:v>1.7931568569324174</c:v>
                </c:pt>
                <c:pt idx="6">
                  <c:v>1.8931568569324175</c:v>
                </c:pt>
                <c:pt idx="7">
                  <c:v>1.9931568569324174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36F-4D06-9618-52FD98E43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R"/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R"/>
                  <a:t>Tiempo (µs)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17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E9" totalsRowShown="0" headerRowDxfId="6" dataDxfId="5">
  <autoFilter ref="A1:E9" xr:uid="{00000000-0009-0000-0100-000001000000}"/>
  <tableColumns count="5">
    <tableColumn id="1" xr3:uid="{00000000-0010-0000-0000-000001000000}" name="N" dataDxfId="4"/>
    <tableColumn id="2" xr3:uid="{00000000-0010-0000-0000-000002000000}" name="Tiempo Mergesort (ms)" dataDxfId="3"/>
    <tableColumn id="5" xr3:uid="{00000000-0010-0000-0000-000005000000}" name="Tiempo Mergesort Teórico (ms)" dataDxfId="2">
      <calculatedColumnFormula>A2*LOG(A2, 2)*0.0001</calculatedColumnFormula>
    </tableColumn>
    <tableColumn id="3" xr3:uid="{00000000-0010-0000-0000-000003000000}" name="Tiempo Busq. Binaria (µs)" dataDxfId="1"/>
    <tableColumn id="7" xr3:uid="{00000000-0010-0000-0000-000007000000}" name="Tiempo Busq. Binaria Teórica (µs)" dataDxfId="0">
      <calculatedColumnFormula>LOG(A2, 2)*0.1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C14" sqref="C14"/>
    </sheetView>
  </sheetViews>
  <sheetFormatPr baseColWidth="10" defaultRowHeight="14.5" x14ac:dyDescent="0.35"/>
  <cols>
    <col min="1" max="1" width="11.1796875" customWidth="1"/>
    <col min="2" max="2" width="24.453125" bestFit="1" customWidth="1"/>
    <col min="3" max="3" width="31.54296875" bestFit="1" customWidth="1"/>
    <col min="4" max="4" width="26" bestFit="1" customWidth="1"/>
    <col min="5" max="5" width="33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1000</v>
      </c>
      <c r="B2" s="3">
        <v>1.3577999999999999</v>
      </c>
      <c r="C2" s="1">
        <f t="shared" ref="C2:C9" si="0">A2*LOG(A2, 2)*0.0001</f>
        <v>0.99657842846620881</v>
      </c>
      <c r="D2" s="2">
        <v>0.2046</v>
      </c>
      <c r="E2" s="1">
        <f t="shared" ref="E2:E9" si="1">LOG(A2, 2)*0.1</f>
        <v>0.9965784284662087</v>
      </c>
    </row>
    <row r="3" spans="1:5" x14ac:dyDescent="0.35">
      <c r="A3" s="1">
        <v>5000</v>
      </c>
      <c r="B3" s="3">
        <v>8.0098000000000003</v>
      </c>
      <c r="C3" s="1">
        <f t="shared" si="0"/>
        <v>6.1438561897747261</v>
      </c>
      <c r="D3" s="2">
        <v>0.2271</v>
      </c>
      <c r="E3" s="1">
        <f t="shared" si="1"/>
        <v>1.2287712379549451</v>
      </c>
    </row>
    <row r="4" spans="1:5" x14ac:dyDescent="0.35">
      <c r="A4" s="1">
        <v>10000</v>
      </c>
      <c r="B4" s="3">
        <v>22.424199999999999</v>
      </c>
      <c r="C4" s="1">
        <f t="shared" si="0"/>
        <v>13.287712379549451</v>
      </c>
      <c r="D4" s="2">
        <v>0.2442</v>
      </c>
      <c r="E4" s="1">
        <f t="shared" si="1"/>
        <v>1.3287712379549452</v>
      </c>
    </row>
    <row r="5" spans="1:5" x14ac:dyDescent="0.35">
      <c r="A5" s="1">
        <v>50000</v>
      </c>
      <c r="B5" s="3">
        <v>129.97059999999999</v>
      </c>
      <c r="C5" s="1">
        <f t="shared" si="0"/>
        <v>78.048202372184065</v>
      </c>
      <c r="D5" s="2">
        <v>0.27479999999999999</v>
      </c>
      <c r="E5" s="1">
        <f t="shared" si="1"/>
        <v>1.5609640474436812</v>
      </c>
    </row>
    <row r="6" spans="1:5" x14ac:dyDescent="0.35">
      <c r="A6" s="1">
        <v>100000</v>
      </c>
      <c r="B6" s="3">
        <v>207.44329999999999</v>
      </c>
      <c r="C6" s="1">
        <f t="shared" si="0"/>
        <v>166.09640474436813</v>
      </c>
      <c r="D6" s="2">
        <v>0.30740000000000001</v>
      </c>
      <c r="E6" s="1">
        <f t="shared" si="1"/>
        <v>1.6609640474436813</v>
      </c>
    </row>
    <row r="7" spans="1:5" x14ac:dyDescent="0.35">
      <c r="A7" s="1">
        <v>250000</v>
      </c>
      <c r="B7" s="3">
        <v>561.51319999999998</v>
      </c>
      <c r="C7" s="1">
        <f t="shared" si="0"/>
        <v>448.28921423310436</v>
      </c>
      <c r="D7" s="2">
        <v>0.3221</v>
      </c>
      <c r="E7" s="1">
        <f t="shared" si="1"/>
        <v>1.7931568569324174</v>
      </c>
    </row>
    <row r="8" spans="1:5" x14ac:dyDescent="0.35">
      <c r="A8" s="1">
        <v>500000</v>
      </c>
      <c r="B8" s="3">
        <v>994.90949999999998</v>
      </c>
      <c r="C8" s="1">
        <f t="shared" si="0"/>
        <v>946.57842846620872</v>
      </c>
      <c r="D8" s="2">
        <v>0.27889999999999998</v>
      </c>
      <c r="E8" s="1">
        <f t="shared" si="1"/>
        <v>1.8931568569324175</v>
      </c>
    </row>
    <row r="9" spans="1:5" x14ac:dyDescent="0.35">
      <c r="A9" s="1">
        <v>1000000</v>
      </c>
      <c r="B9" s="3">
        <v>5632.8128999999999</v>
      </c>
      <c r="C9" s="1">
        <f t="shared" si="0"/>
        <v>1993.1568569324174</v>
      </c>
      <c r="D9" s="2">
        <v>0.375</v>
      </c>
      <c r="E9" s="1">
        <f t="shared" si="1"/>
        <v>1.9931568569324174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topLeftCell="A3" workbookViewId="0">
      <selection activeCell="A12" sqref="A12:C15"/>
    </sheetView>
  </sheetViews>
  <sheetFormatPr baseColWidth="10" defaultColWidth="8.7265625" defaultRowHeight="14.5" x14ac:dyDescent="0.35"/>
  <cols>
    <col min="1" max="1" width="12" customWidth="1"/>
    <col min="2" max="5" width="28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1000</v>
      </c>
      <c r="B2">
        <v>1.3577999999999999</v>
      </c>
      <c r="C2">
        <f t="shared" ref="C2:C9" si="0">A2*LOG(A2, 2)*0.0001</f>
        <v>0.99657842846620881</v>
      </c>
      <c r="D2">
        <v>0.2046</v>
      </c>
      <c r="E2">
        <f t="shared" ref="E2:E9" si="1">LOG(A2, 2)*0.1</f>
        <v>0.9965784284662087</v>
      </c>
    </row>
    <row r="3" spans="1:5" x14ac:dyDescent="0.35">
      <c r="A3">
        <v>5000</v>
      </c>
      <c r="B3">
        <v>8.0098000000000003</v>
      </c>
      <c r="C3">
        <f t="shared" si="0"/>
        <v>6.1438561897747261</v>
      </c>
      <c r="D3">
        <v>0.2271</v>
      </c>
      <c r="E3">
        <f t="shared" si="1"/>
        <v>1.2287712379549451</v>
      </c>
    </row>
    <row r="4" spans="1:5" x14ac:dyDescent="0.35">
      <c r="A4">
        <v>10000</v>
      </c>
      <c r="B4">
        <v>22.424199999999999</v>
      </c>
      <c r="C4">
        <f t="shared" si="0"/>
        <v>13.287712379549451</v>
      </c>
      <c r="D4">
        <v>0.2442</v>
      </c>
      <c r="E4">
        <f t="shared" si="1"/>
        <v>1.3287712379549452</v>
      </c>
    </row>
    <row r="5" spans="1:5" x14ac:dyDescent="0.35">
      <c r="A5">
        <v>50000</v>
      </c>
      <c r="B5">
        <v>129.97059999999999</v>
      </c>
      <c r="C5">
        <f t="shared" si="0"/>
        <v>78.048202372184065</v>
      </c>
      <c r="D5">
        <v>0.27479999999999999</v>
      </c>
      <c r="E5">
        <f t="shared" si="1"/>
        <v>1.5609640474436812</v>
      </c>
    </row>
    <row r="6" spans="1:5" x14ac:dyDescent="0.35">
      <c r="A6">
        <v>100000</v>
      </c>
      <c r="B6">
        <v>207.44329999999999</v>
      </c>
      <c r="C6">
        <f t="shared" si="0"/>
        <v>166.09640474436813</v>
      </c>
      <c r="D6">
        <v>0.30740000000000001</v>
      </c>
      <c r="E6">
        <f t="shared" si="1"/>
        <v>1.6609640474436813</v>
      </c>
    </row>
    <row r="7" spans="1:5" x14ac:dyDescent="0.35">
      <c r="A7">
        <v>250000</v>
      </c>
      <c r="B7">
        <v>561.51319999999998</v>
      </c>
      <c r="C7">
        <f t="shared" si="0"/>
        <v>448.28921423310436</v>
      </c>
      <c r="D7">
        <v>0.3221</v>
      </c>
      <c r="E7">
        <f t="shared" si="1"/>
        <v>1.7931568569324174</v>
      </c>
    </row>
    <row r="8" spans="1:5" x14ac:dyDescent="0.35">
      <c r="A8">
        <v>500000</v>
      </c>
      <c r="B8">
        <v>994.90949999999998</v>
      </c>
      <c r="C8">
        <f t="shared" si="0"/>
        <v>946.57842846620872</v>
      </c>
      <c r="D8">
        <v>0.27889999999999998</v>
      </c>
      <c r="E8">
        <f t="shared" si="1"/>
        <v>1.8931568569324175</v>
      </c>
    </row>
    <row r="9" spans="1:5" x14ac:dyDescent="0.35">
      <c r="A9">
        <v>1000000</v>
      </c>
      <c r="B9">
        <v>5632.8128999999999</v>
      </c>
      <c r="C9">
        <f t="shared" si="0"/>
        <v>1993.1568569324174</v>
      </c>
      <c r="D9">
        <v>0.375</v>
      </c>
      <c r="E9">
        <f t="shared" si="1"/>
        <v>1.9931568569324174</v>
      </c>
    </row>
    <row r="12" spans="1:5" ht="101.5" x14ac:dyDescent="0.35">
      <c r="A12" s="4" t="s">
        <v>5</v>
      </c>
      <c r="B12" s="4" t="s">
        <v>6</v>
      </c>
      <c r="C12" s="5" t="s">
        <v>7</v>
      </c>
    </row>
    <row r="13" spans="1:5" ht="58" x14ac:dyDescent="0.35">
      <c r="A13" s="5"/>
      <c r="B13" s="4" t="s">
        <v>8</v>
      </c>
      <c r="C13" s="5" t="s">
        <v>9</v>
      </c>
    </row>
    <row r="14" spans="1:5" x14ac:dyDescent="0.35">
      <c r="A14" s="5"/>
      <c r="B14" s="5"/>
      <c r="C14" s="5"/>
    </row>
    <row r="15" spans="1:5" ht="72.5" x14ac:dyDescent="0.35">
      <c r="A15" s="4" t="s">
        <v>10</v>
      </c>
      <c r="B15" s="5" t="s">
        <v>11</v>
      </c>
      <c r="C15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topLeftCell="A14" workbookViewId="0">
      <selection activeCell="K10" sqref="K10"/>
    </sheetView>
  </sheetViews>
  <sheetFormatPr baseColWidth="10" defaultColWidth="8.7265625" defaultRowHeight="14.5" x14ac:dyDescent="0.3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Comparativa</vt:lpstr>
      <vt:lpstr>Gráficas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resyen7@outlook.com</dc:creator>
  <cp:lastModifiedBy>MOLINA VEGA JUAN PABLO</cp:lastModifiedBy>
  <dcterms:created xsi:type="dcterms:W3CDTF">2026-09-30T18:18:28Z</dcterms:created>
  <dcterms:modified xsi:type="dcterms:W3CDTF">2026-10-02T02:59:39Z</dcterms:modified>
</cp:coreProperties>
</file>